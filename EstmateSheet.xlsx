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Projects\Udemy\"/>
    </mc:Choice>
  </mc:AlternateContent>
  <xr:revisionPtr revIDLastSave="0" documentId="13_ncr:1_{6BDC03B5-DBA9-405C-91F6-ABB1758C3602}" xr6:coauthVersionLast="47" xr6:coauthVersionMax="47" xr10:uidLastSave="{00000000-0000-0000-0000-000000000000}"/>
  <bookViews>
    <workbookView xWindow="-108" yWindow="-108" windowWidth="23256" windowHeight="12456" xr2:uid="{49A94BDE-8294-41C6-A90A-3801A9C66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B18" i="1" s="1"/>
  <c r="C18" i="1" s="1"/>
  <c r="D18" i="1" s="1"/>
  <c r="E18" i="1" l="1"/>
  <c r="B17" i="1"/>
  <c r="C17" i="1" s="1"/>
  <c r="D17" i="1" s="1"/>
  <c r="E17" i="1" s="1"/>
  <c r="B16" i="1"/>
  <c r="C16" i="1" s="1"/>
  <c r="D16" i="1" s="1"/>
  <c r="E16" i="1" s="1"/>
  <c r="B15" i="1"/>
  <c r="C15" i="1" s="1"/>
  <c r="D15" i="1" s="1"/>
  <c r="E15" i="1" s="1"/>
  <c r="B14" i="1"/>
  <c r="C14" i="1" s="1"/>
  <c r="D14" i="1" s="1"/>
  <c r="E14" i="1" s="1"/>
  <c r="B13" i="1"/>
  <c r="B27" i="1"/>
  <c r="C27" i="1" s="1"/>
  <c r="D27" i="1" s="1"/>
  <c r="E27" i="1" s="1"/>
  <c r="B26" i="1"/>
  <c r="C26" i="1" s="1"/>
  <c r="D26" i="1" s="1"/>
  <c r="E26" i="1" s="1"/>
  <c r="B25" i="1"/>
  <c r="C25" i="1" s="1"/>
  <c r="D25" i="1" s="1"/>
  <c r="E25" i="1" s="1"/>
  <c r="B24" i="1"/>
  <c r="C24" i="1" s="1"/>
  <c r="D24" i="1" s="1"/>
  <c r="E24" i="1" s="1"/>
  <c r="B23" i="1"/>
  <c r="C23" i="1" s="1"/>
  <c r="D23" i="1" s="1"/>
  <c r="E23" i="1" s="1"/>
  <c r="B22" i="1"/>
  <c r="C22" i="1" s="1"/>
  <c r="D22" i="1" s="1"/>
  <c r="E22" i="1" s="1"/>
  <c r="B21" i="1"/>
  <c r="C21" i="1" s="1"/>
  <c r="D21" i="1" s="1"/>
  <c r="E21" i="1" s="1"/>
  <c r="B20" i="1"/>
  <c r="C20" i="1" s="1"/>
  <c r="D20" i="1" s="1"/>
  <c r="E20" i="1" s="1"/>
  <c r="B19" i="1"/>
  <c r="C19" i="1" s="1"/>
  <c r="D19" i="1" s="1"/>
  <c r="E19" i="1" s="1"/>
  <c r="C13" i="1" l="1"/>
  <c r="D13" i="1" s="1"/>
  <c r="E13" i="1" s="1"/>
  <c r="F13" i="1" l="1"/>
  <c r="F14" i="1"/>
  <c r="F15" i="1"/>
  <c r="F17" i="1"/>
  <c r="F16" i="1"/>
  <c r="F18" i="1"/>
  <c r="F24" i="1"/>
  <c r="F27" i="1"/>
  <c r="F19" i="1"/>
  <c r="F22" i="1"/>
  <c r="F25" i="1"/>
  <c r="F26" i="1"/>
  <c r="F20" i="1"/>
  <c r="F21" i="1"/>
  <c r="F23" i="1"/>
</calcChain>
</file>

<file path=xl/sharedStrings.xml><?xml version="1.0" encoding="utf-8"?>
<sst xmlns="http://schemas.openxmlformats.org/spreadsheetml/2006/main" count="13" uniqueCount="13">
  <si>
    <t>Room Length</t>
  </si>
  <si>
    <t>Ceiling Height</t>
  </si>
  <si>
    <t>Room Height</t>
  </si>
  <si>
    <t>Light Loss Factor</t>
  </si>
  <si>
    <t>Utilization Factor</t>
  </si>
  <si>
    <t>LUX Value</t>
  </si>
  <si>
    <t>Lumines</t>
  </si>
  <si>
    <t>No.of Luminiers</t>
  </si>
  <si>
    <t>Length/Width</t>
  </si>
  <si>
    <t>No.of Luminiers Along Length</t>
  </si>
  <si>
    <t>No.of Luminiers Along Width</t>
  </si>
  <si>
    <t>Design Case</t>
  </si>
  <si>
    <t>Manual Lightning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</si>
</sst>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.5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C6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/>
    <xf numFmtId="0" fontId="2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73BE-0304-4ECC-B283-6AE15F64FF12}">
  <dimension ref="A1:G27"/>
  <sheetViews>
    <sheetView tabSelected="1" topLeftCell="A2" zoomScaleNormal="100" workbookViewId="0">
      <selection activeCell="F12" sqref="F12"/>
    </sheetView>
  </sheetViews>
  <sheetFormatPr defaultRowHeight="14.4" x14ac:dyDescent="0.3"/>
  <cols>
    <col min="1" max="1" width="34.109375" customWidth="1"/>
    <col min="2" max="2" width="37.5546875" customWidth="1"/>
    <col min="6" max="6" width="22.77734375" customWidth="1"/>
    <col min="7" max="7" width="13.44140625" customWidth="1"/>
  </cols>
  <sheetData>
    <row r="1" spans="1:7" ht="17.399999999999999" x14ac:dyDescent="0.3">
      <c r="A1" s="9" t="s">
        <v>12</v>
      </c>
      <c r="F1" s="1" t="s">
        <v>0</v>
      </c>
      <c r="G1" s="2">
        <v>6</v>
      </c>
    </row>
    <row r="2" spans="1:7" ht="17.399999999999999" x14ac:dyDescent="0.3">
      <c r="F2" s="1" t="s">
        <v>2</v>
      </c>
      <c r="G2" s="2">
        <v>4</v>
      </c>
    </row>
    <row r="3" spans="1:7" ht="17.399999999999999" x14ac:dyDescent="0.3">
      <c r="F3" s="1" t="s">
        <v>1</v>
      </c>
      <c r="G3" s="2">
        <v>4</v>
      </c>
    </row>
    <row r="4" spans="1:7" ht="17.399999999999999" x14ac:dyDescent="0.3">
      <c r="F4" s="1" t="s">
        <v>3</v>
      </c>
      <c r="G4" s="2">
        <v>0.8</v>
      </c>
    </row>
    <row r="5" spans="1:7" ht="17.399999999999999" x14ac:dyDescent="0.3">
      <c r="F5" s="1" t="s">
        <v>4</v>
      </c>
      <c r="G5" s="2">
        <v>0.5</v>
      </c>
    </row>
    <row r="6" spans="1:7" ht="17.399999999999999" x14ac:dyDescent="0.3">
      <c r="F6" s="1" t="s">
        <v>5</v>
      </c>
      <c r="G6" s="2">
        <v>500</v>
      </c>
    </row>
    <row r="7" spans="1:7" ht="17.399999999999999" x14ac:dyDescent="0.3">
      <c r="F7" s="1" t="s">
        <v>6</v>
      </c>
      <c r="G7" s="2">
        <v>3400</v>
      </c>
    </row>
    <row r="8" spans="1:7" ht="17.399999999999999" x14ac:dyDescent="0.3">
      <c r="F8" s="1" t="s">
        <v>7</v>
      </c>
      <c r="G8" s="2">
        <f>ROUNDUP(G1*G2*G6/(G4*G5*G7),0)</f>
        <v>9</v>
      </c>
    </row>
    <row r="9" spans="1:7" ht="17.399999999999999" x14ac:dyDescent="0.3">
      <c r="F9" s="1" t="s">
        <v>8</v>
      </c>
      <c r="G9" s="2">
        <f>ROUNDUP(G1/G2,2)</f>
        <v>1.5</v>
      </c>
    </row>
    <row r="12" spans="1:7" ht="15.6" x14ac:dyDescent="0.3">
      <c r="A12" s="3" t="s">
        <v>10</v>
      </c>
      <c r="B12" s="4" t="s">
        <v>9</v>
      </c>
      <c r="C12" s="8"/>
      <c r="D12" s="8"/>
      <c r="E12" s="8"/>
      <c r="F12" s="6" t="s">
        <v>11</v>
      </c>
    </row>
    <row r="13" spans="1:7" x14ac:dyDescent="0.3">
      <c r="A13" s="5">
        <v>1</v>
      </c>
      <c r="B13" s="7">
        <f>$G$8/A13</f>
        <v>9</v>
      </c>
      <c r="C13" s="7" t="b">
        <f>INT(B13)=B13</f>
        <v>1</v>
      </c>
      <c r="D13" s="7">
        <f>IF((C13)=TRUE,B13,10000)</f>
        <v>9</v>
      </c>
      <c r="E13" s="7">
        <f>ABS(D13/A13-$G$9)</f>
        <v>7.5</v>
      </c>
      <c r="F13" s="7" t="str">
        <f>IF(MIN($E$13:$E$27)=E13,"TRUE DESIGN","X")</f>
        <v>X</v>
      </c>
    </row>
    <row r="14" spans="1:7" x14ac:dyDescent="0.3">
      <c r="A14" s="5">
        <v>2</v>
      </c>
      <c r="B14" s="7">
        <f t="shared" ref="B14:B27" si="0">$G$8/A14</f>
        <v>4.5</v>
      </c>
      <c r="C14" s="7" t="b">
        <f t="shared" ref="C14:C27" si="1">INT(B14)=B14</f>
        <v>0</v>
      </c>
      <c r="D14" s="7">
        <f t="shared" ref="D14:D27" si="2">IF((C14)=TRUE,B14,10000)</f>
        <v>10000</v>
      </c>
      <c r="E14" s="7">
        <f t="shared" ref="E14:E27" si="3">ABS(D14/A14-$G$9)</f>
        <v>4998.5</v>
      </c>
      <c r="F14" s="7" t="str">
        <f t="shared" ref="F14:F27" si="4">IF(MIN($E$13:$E$27)=E14,"TRUE DESIGN","X")</f>
        <v>X</v>
      </c>
    </row>
    <row r="15" spans="1:7" x14ac:dyDescent="0.3">
      <c r="A15" s="10">
        <v>3</v>
      </c>
      <c r="B15" s="10">
        <f t="shared" si="0"/>
        <v>3</v>
      </c>
      <c r="C15" s="10" t="b">
        <f t="shared" si="1"/>
        <v>1</v>
      </c>
      <c r="D15" s="10">
        <f t="shared" si="2"/>
        <v>3</v>
      </c>
      <c r="E15" s="10">
        <f t="shared" si="3"/>
        <v>0.5</v>
      </c>
      <c r="F15" s="10" t="str">
        <f t="shared" si="4"/>
        <v>TRUE DESIGN</v>
      </c>
    </row>
    <row r="16" spans="1:7" x14ac:dyDescent="0.3">
      <c r="A16" s="5">
        <v>4</v>
      </c>
      <c r="B16" s="7">
        <f t="shared" si="0"/>
        <v>2.25</v>
      </c>
      <c r="C16" s="7" t="b">
        <f t="shared" si="1"/>
        <v>0</v>
      </c>
      <c r="D16" s="7">
        <f t="shared" si="2"/>
        <v>10000</v>
      </c>
      <c r="E16" s="7">
        <f t="shared" si="3"/>
        <v>2498.5</v>
      </c>
      <c r="F16" s="7" t="str">
        <f t="shared" si="4"/>
        <v>X</v>
      </c>
    </row>
    <row r="17" spans="1:6" x14ac:dyDescent="0.3">
      <c r="A17" s="5">
        <v>5</v>
      </c>
      <c r="B17" s="7">
        <f t="shared" si="0"/>
        <v>1.8</v>
      </c>
      <c r="C17" s="7" t="b">
        <f t="shared" si="1"/>
        <v>0</v>
      </c>
      <c r="D17" s="7">
        <f t="shared" si="2"/>
        <v>10000</v>
      </c>
      <c r="E17" s="7">
        <f t="shared" si="3"/>
        <v>1998.5</v>
      </c>
      <c r="F17" s="7" t="str">
        <f t="shared" si="4"/>
        <v>X</v>
      </c>
    </row>
    <row r="18" spans="1:6" x14ac:dyDescent="0.3">
      <c r="A18" s="5">
        <v>6</v>
      </c>
      <c r="B18" s="7">
        <f t="shared" si="0"/>
        <v>1.5</v>
      </c>
      <c r="C18" s="7" t="b">
        <f t="shared" si="1"/>
        <v>0</v>
      </c>
      <c r="D18" s="7">
        <f t="shared" si="2"/>
        <v>10000</v>
      </c>
      <c r="E18" s="7">
        <f t="shared" si="3"/>
        <v>1665.1666666666667</v>
      </c>
      <c r="F18" s="7" t="str">
        <f t="shared" si="4"/>
        <v>X</v>
      </c>
    </row>
    <row r="19" spans="1:6" x14ac:dyDescent="0.3">
      <c r="A19" s="5">
        <v>7</v>
      </c>
      <c r="B19" s="7">
        <f t="shared" si="0"/>
        <v>1.2857142857142858</v>
      </c>
      <c r="C19" s="7" t="b">
        <f t="shared" si="1"/>
        <v>0</v>
      </c>
      <c r="D19" s="7">
        <f t="shared" si="2"/>
        <v>10000</v>
      </c>
      <c r="E19" s="7">
        <f t="shared" si="3"/>
        <v>1427.0714285714287</v>
      </c>
      <c r="F19" s="7" t="str">
        <f t="shared" si="4"/>
        <v>X</v>
      </c>
    </row>
    <row r="20" spans="1:6" x14ac:dyDescent="0.3">
      <c r="A20" s="5">
        <v>8</v>
      </c>
      <c r="B20" s="7">
        <f t="shared" si="0"/>
        <v>1.125</v>
      </c>
      <c r="C20" s="7" t="b">
        <f t="shared" si="1"/>
        <v>0</v>
      </c>
      <c r="D20" s="7">
        <f t="shared" si="2"/>
        <v>10000</v>
      </c>
      <c r="E20" s="7">
        <f t="shared" si="3"/>
        <v>1248.5</v>
      </c>
      <c r="F20" s="7" t="str">
        <f t="shared" si="4"/>
        <v>X</v>
      </c>
    </row>
    <row r="21" spans="1:6" x14ac:dyDescent="0.3">
      <c r="A21" s="5">
        <v>9</v>
      </c>
      <c r="B21" s="7">
        <f t="shared" si="0"/>
        <v>1</v>
      </c>
      <c r="C21" s="7" t="b">
        <f t="shared" si="1"/>
        <v>1</v>
      </c>
      <c r="D21" s="7">
        <f t="shared" si="2"/>
        <v>1</v>
      </c>
      <c r="E21" s="7">
        <f t="shared" si="3"/>
        <v>1.3888888888888888</v>
      </c>
      <c r="F21" s="7" t="str">
        <f t="shared" si="4"/>
        <v>X</v>
      </c>
    </row>
    <row r="22" spans="1:6" x14ac:dyDescent="0.3">
      <c r="A22" s="5">
        <v>10</v>
      </c>
      <c r="B22" s="7">
        <f t="shared" si="0"/>
        <v>0.9</v>
      </c>
      <c r="C22" s="7" t="b">
        <f t="shared" si="1"/>
        <v>0</v>
      </c>
      <c r="D22" s="7">
        <f t="shared" si="2"/>
        <v>10000</v>
      </c>
      <c r="E22" s="7">
        <f t="shared" si="3"/>
        <v>998.5</v>
      </c>
      <c r="F22" s="7" t="str">
        <f t="shared" si="4"/>
        <v>X</v>
      </c>
    </row>
    <row r="23" spans="1:6" x14ac:dyDescent="0.3">
      <c r="A23" s="5">
        <v>11</v>
      </c>
      <c r="B23" s="7">
        <f t="shared" si="0"/>
        <v>0.81818181818181823</v>
      </c>
      <c r="C23" s="7" t="b">
        <f t="shared" si="1"/>
        <v>0</v>
      </c>
      <c r="D23" s="7">
        <f t="shared" si="2"/>
        <v>10000</v>
      </c>
      <c r="E23" s="7">
        <f t="shared" si="3"/>
        <v>907.59090909090912</v>
      </c>
      <c r="F23" s="7" t="str">
        <f t="shared" si="4"/>
        <v>X</v>
      </c>
    </row>
    <row r="24" spans="1:6" x14ac:dyDescent="0.3">
      <c r="A24" s="5">
        <v>12</v>
      </c>
      <c r="B24" s="7">
        <f t="shared" si="0"/>
        <v>0.75</v>
      </c>
      <c r="C24" s="7" t="b">
        <f t="shared" si="1"/>
        <v>0</v>
      </c>
      <c r="D24" s="7">
        <f t="shared" si="2"/>
        <v>10000</v>
      </c>
      <c r="E24" s="7">
        <f t="shared" si="3"/>
        <v>831.83333333333337</v>
      </c>
      <c r="F24" s="7" t="str">
        <f t="shared" si="4"/>
        <v>X</v>
      </c>
    </row>
    <row r="25" spans="1:6" x14ac:dyDescent="0.3">
      <c r="A25" s="5">
        <v>13</v>
      </c>
      <c r="B25" s="7">
        <f t="shared" si="0"/>
        <v>0.69230769230769229</v>
      </c>
      <c r="C25" s="7" t="b">
        <f t="shared" si="1"/>
        <v>0</v>
      </c>
      <c r="D25" s="7">
        <f t="shared" si="2"/>
        <v>10000</v>
      </c>
      <c r="E25" s="7">
        <f t="shared" si="3"/>
        <v>767.73076923076928</v>
      </c>
      <c r="F25" s="7" t="str">
        <f t="shared" si="4"/>
        <v>X</v>
      </c>
    </row>
    <row r="26" spans="1:6" x14ac:dyDescent="0.3">
      <c r="A26" s="5">
        <v>14</v>
      </c>
      <c r="B26" s="7">
        <f t="shared" si="0"/>
        <v>0.6428571428571429</v>
      </c>
      <c r="C26" s="7" t="b">
        <f t="shared" si="1"/>
        <v>0</v>
      </c>
      <c r="D26" s="7">
        <f t="shared" si="2"/>
        <v>10000</v>
      </c>
      <c r="E26" s="7">
        <f t="shared" si="3"/>
        <v>712.78571428571433</v>
      </c>
      <c r="F26" s="7" t="str">
        <f t="shared" si="4"/>
        <v>X</v>
      </c>
    </row>
    <row r="27" spans="1:6" x14ac:dyDescent="0.3">
      <c r="A27" s="5">
        <v>15</v>
      </c>
      <c r="B27" s="7">
        <f t="shared" si="0"/>
        <v>0.6</v>
      </c>
      <c r="C27" s="7" t="b">
        <f t="shared" si="1"/>
        <v>0</v>
      </c>
      <c r="D27" s="7">
        <f t="shared" si="2"/>
        <v>10000</v>
      </c>
      <c r="E27" s="7">
        <f t="shared" si="3"/>
        <v>665.16666666666663</v>
      </c>
      <c r="F27" s="7" t="str">
        <f t="shared" si="4"/>
        <v>X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 W.N.D.</dc:creator>
  <cp:lastModifiedBy>LOWE W.N.D.</cp:lastModifiedBy>
  <dcterms:created xsi:type="dcterms:W3CDTF">2026-09-02T15:50:00Z</dcterms:created>
  <dcterms:modified xsi:type="dcterms:W3CDTF">2026-09-03T04:33:58Z</dcterms:modified>
</cp:coreProperties>
</file>